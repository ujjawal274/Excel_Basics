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70ACB6F7-0542-4E66-9148-E33C372F7A84}" xr6:coauthVersionLast="47" xr6:coauthVersionMax="47" xr10:uidLastSave="{00000000-0000-0000-0000-000000000000}"/>
  <bookViews>
    <workbookView xWindow="-120" yWindow="-120" windowWidth="20730" windowHeight="11040" xr2:uid="{0538ABFE-AB6C-4C23-8C82-19551F5CF4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9" i="1" l="1"/>
  <c r="C90" i="1"/>
  <c r="H82" i="1"/>
  <c r="F74" i="1"/>
  <c r="E67" i="1"/>
  <c r="G60" i="1"/>
  <c r="F60" i="1"/>
  <c r="J56" i="1"/>
  <c r="J55" i="1"/>
  <c r="J54" i="1"/>
  <c r="J53" i="1"/>
  <c r="G53" i="1"/>
  <c r="F53" i="1"/>
  <c r="G46" i="1"/>
  <c r="F46" i="1"/>
  <c r="E40" i="1"/>
  <c r="E41" i="1"/>
  <c r="E39" i="1"/>
  <c r="D40" i="1"/>
  <c r="D41" i="1"/>
  <c r="D39" i="1"/>
  <c r="C24" i="1"/>
  <c r="C32" i="1"/>
  <c r="C33" i="1"/>
  <c r="C34" i="1"/>
  <c r="D32" i="1"/>
  <c r="D33" i="1"/>
  <c r="D34" i="1"/>
  <c r="D31" i="1"/>
  <c r="C31" i="1"/>
  <c r="C22" i="1"/>
  <c r="C23" i="1"/>
  <c r="C21" i="1"/>
  <c r="B18" i="1"/>
  <c r="B17" i="1"/>
  <c r="B16" i="1"/>
  <c r="B15" i="1"/>
  <c r="B14" i="1"/>
  <c r="D12" i="1"/>
  <c r="D10" i="1"/>
  <c r="D11" i="1"/>
  <c r="D9" i="1"/>
</calcChain>
</file>

<file path=xl/sharedStrings.xml><?xml version="1.0" encoding="utf-8"?>
<sst xmlns="http://schemas.openxmlformats.org/spreadsheetml/2006/main" count="135" uniqueCount="51">
  <si>
    <t>Name</t>
  </si>
  <si>
    <t>Age</t>
  </si>
  <si>
    <t>City</t>
  </si>
  <si>
    <t>Amit</t>
  </si>
  <si>
    <t>Neha</t>
  </si>
  <si>
    <t>Rahul</t>
  </si>
  <si>
    <t>Priya</t>
  </si>
  <si>
    <t>Delhi</t>
  </si>
  <si>
    <t>Mumbai</t>
  </si>
  <si>
    <t>Ranchi</t>
  </si>
  <si>
    <t>Kolkata</t>
  </si>
  <si>
    <t>Product</t>
  </si>
  <si>
    <t>Price</t>
  </si>
  <si>
    <t>Quantity</t>
  </si>
  <si>
    <t>Total</t>
  </si>
  <si>
    <t>Laptop</t>
  </si>
  <si>
    <t>Mouse</t>
  </si>
  <si>
    <t>Keyword</t>
  </si>
  <si>
    <t>sum</t>
  </si>
  <si>
    <t>Average</t>
  </si>
  <si>
    <t>Max</t>
  </si>
  <si>
    <t>min</t>
  </si>
  <si>
    <t>count</t>
  </si>
  <si>
    <t>Student</t>
  </si>
  <si>
    <t>Marks</t>
  </si>
  <si>
    <t>Result</t>
  </si>
  <si>
    <t>Total Marks</t>
  </si>
  <si>
    <t>Percentage</t>
  </si>
  <si>
    <t>Grade</t>
  </si>
  <si>
    <t>GST %</t>
  </si>
  <si>
    <t>Final Price</t>
  </si>
  <si>
    <t>GST Price</t>
  </si>
  <si>
    <t>Emp ID</t>
  </si>
  <si>
    <t>Department</t>
  </si>
  <si>
    <t>HR</t>
  </si>
  <si>
    <t>IT</t>
  </si>
  <si>
    <t>Sales</t>
  </si>
  <si>
    <t>Finance</t>
  </si>
  <si>
    <t xml:space="preserve">Name </t>
  </si>
  <si>
    <t>Product ID</t>
  </si>
  <si>
    <t>Keyboard</t>
  </si>
  <si>
    <t>Monitor</t>
  </si>
  <si>
    <t>Sum =</t>
  </si>
  <si>
    <t>Avg =</t>
  </si>
  <si>
    <t xml:space="preserve">IF = </t>
  </si>
  <si>
    <t>Vlookup =</t>
  </si>
  <si>
    <t>Salary</t>
  </si>
  <si>
    <t xml:space="preserve">Emp ID </t>
  </si>
  <si>
    <t>Total Sales Ranchi =</t>
  </si>
  <si>
    <t>Ranchi + Laptop ki Sales      =</t>
  </si>
  <si>
    <t>Ranchi + Laptop   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</si>
</sst>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99CCFF"/>
      <color rgb="FFFFFF99"/>
      <color rgb="FFFFFF66"/>
      <color rgb="FF66FF66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D6C04-3255-4E37-AB23-69A366051EE1}">
  <dimension ref="A1:J104"/>
  <sheetViews>
    <sheetView tabSelected="1" topLeftCell="A93" zoomScale="120" zoomScaleNormal="120" workbookViewId="0">
      <selection activeCell="F99" sqref="F99"/>
    </sheetView>
  </sheetViews>
  <sheetFormatPr defaultRowHeight="15" x14ac:dyDescent="0.25"/>
  <cols>
    <col min="1" max="1" width="10.42578125" bestFit="1" customWidth="1"/>
    <col min="2" max="3" width="11.140625" bestFit="1" customWidth="1"/>
    <col min="4" max="4" width="10.28515625" bestFit="1" customWidth="1"/>
    <col min="5" max="5" width="10.42578125" bestFit="1" customWidth="1"/>
    <col min="6" max="6" width="8" bestFit="1" customWidth="1"/>
    <col min="7" max="7" width="11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</row>
    <row r="2" spans="1:4" x14ac:dyDescent="0.25">
      <c r="A2" s="2" t="s">
        <v>3</v>
      </c>
      <c r="B2" s="2">
        <v>22</v>
      </c>
      <c r="C2" s="2" t="s">
        <v>7</v>
      </c>
    </row>
    <row r="3" spans="1:4" x14ac:dyDescent="0.25">
      <c r="A3" s="2" t="s">
        <v>4</v>
      </c>
      <c r="B3" s="2">
        <v>25</v>
      </c>
      <c r="C3" s="2" t="s">
        <v>8</v>
      </c>
    </row>
    <row r="4" spans="1:4" x14ac:dyDescent="0.25">
      <c r="A4" s="2" t="s">
        <v>5</v>
      </c>
      <c r="B4" s="2">
        <v>24</v>
      </c>
      <c r="C4" s="2" t="s">
        <v>9</v>
      </c>
    </row>
    <row r="5" spans="1:4" x14ac:dyDescent="0.25">
      <c r="A5" s="2" t="s">
        <v>6</v>
      </c>
      <c r="B5" s="2">
        <v>23</v>
      </c>
      <c r="C5" s="2" t="s">
        <v>10</v>
      </c>
    </row>
    <row r="8" spans="1:4" x14ac:dyDescent="0.25">
      <c r="A8" s="4" t="s">
        <v>11</v>
      </c>
      <c r="B8" s="4" t="s">
        <v>12</v>
      </c>
      <c r="C8" s="4" t="s">
        <v>13</v>
      </c>
      <c r="D8" s="4" t="s">
        <v>14</v>
      </c>
    </row>
    <row r="9" spans="1:4" x14ac:dyDescent="0.25">
      <c r="A9" s="2" t="s">
        <v>15</v>
      </c>
      <c r="B9" s="2">
        <v>55000</v>
      </c>
      <c r="C9" s="2">
        <v>2</v>
      </c>
      <c r="D9" s="2">
        <f>B9*C9</f>
        <v>110000</v>
      </c>
    </row>
    <row r="10" spans="1:4" x14ac:dyDescent="0.25">
      <c r="A10" s="2" t="s">
        <v>16</v>
      </c>
      <c r="B10" s="2">
        <v>500</v>
      </c>
      <c r="C10" s="2">
        <v>5</v>
      </c>
      <c r="D10" s="2">
        <f t="shared" ref="D10:D11" si="0">B10*C10</f>
        <v>2500</v>
      </c>
    </row>
    <row r="11" spans="1:4" x14ac:dyDescent="0.25">
      <c r="A11" s="2" t="s">
        <v>17</v>
      </c>
      <c r="B11" s="2">
        <v>1200</v>
      </c>
      <c r="C11" s="2">
        <v>3</v>
      </c>
      <c r="D11" s="2">
        <f t="shared" si="0"/>
        <v>3600</v>
      </c>
    </row>
    <row r="12" spans="1:4" x14ac:dyDescent="0.25">
      <c r="D12">
        <f>SUM(D9:D11)</f>
        <v>116100</v>
      </c>
    </row>
    <row r="14" spans="1:4" x14ac:dyDescent="0.25">
      <c r="A14" t="s">
        <v>18</v>
      </c>
      <c r="B14">
        <f>SUM(B9:B11)</f>
        <v>56700</v>
      </c>
    </row>
    <row r="15" spans="1:4" x14ac:dyDescent="0.25">
      <c r="A15" t="s">
        <v>19</v>
      </c>
      <c r="B15">
        <f>AVERAGE(B9:B11)</f>
        <v>18900</v>
      </c>
    </row>
    <row r="16" spans="1:4" x14ac:dyDescent="0.25">
      <c r="A16" t="s">
        <v>20</v>
      </c>
      <c r="B16">
        <f>MAX(B9:B11)</f>
        <v>55000</v>
      </c>
    </row>
    <row r="17" spans="1:4" x14ac:dyDescent="0.25">
      <c r="A17" t="s">
        <v>21</v>
      </c>
      <c r="B17">
        <f>MIN(B9:B11)</f>
        <v>500</v>
      </c>
    </row>
    <row r="18" spans="1:4" x14ac:dyDescent="0.25">
      <c r="A18" t="s">
        <v>22</v>
      </c>
      <c r="B18">
        <f>COUNT(B9:B11)</f>
        <v>3</v>
      </c>
    </row>
    <row r="20" spans="1:4" x14ac:dyDescent="0.25">
      <c r="A20" s="5" t="s">
        <v>23</v>
      </c>
      <c r="B20" s="5" t="s">
        <v>24</v>
      </c>
      <c r="C20" s="5" t="s">
        <v>25</v>
      </c>
    </row>
    <row r="21" spans="1:4" x14ac:dyDescent="0.25">
      <c r="A21" s="2" t="s">
        <v>3</v>
      </c>
      <c r="B21" s="2">
        <v>85</v>
      </c>
      <c r="C21" s="2" t="str">
        <f>IF(B21&gt;=40,"Pass","Fail")</f>
        <v>Pass</v>
      </c>
    </row>
    <row r="22" spans="1:4" x14ac:dyDescent="0.25">
      <c r="A22" s="2" t="s">
        <v>4</v>
      </c>
      <c r="B22" s="2">
        <v>42</v>
      </c>
      <c r="C22" s="2" t="str">
        <f t="shared" ref="C22:C23" si="1">IF(B22&gt;=40,"Pass","Fail")</f>
        <v>Pass</v>
      </c>
    </row>
    <row r="23" spans="1:4" x14ac:dyDescent="0.25">
      <c r="A23" s="2" t="s">
        <v>5</v>
      </c>
      <c r="B23" s="2">
        <v>76</v>
      </c>
      <c r="C23" s="2" t="str">
        <f t="shared" si="1"/>
        <v>Pass</v>
      </c>
    </row>
    <row r="24" spans="1:4" x14ac:dyDescent="0.25">
      <c r="A24" s="2" t="s">
        <v>6</v>
      </c>
      <c r="B24" s="2">
        <v>33</v>
      </c>
      <c r="C24" s="2" t="str">
        <f>IF(B24&gt;=40,"Pass","Fail")</f>
        <v>Fail</v>
      </c>
    </row>
    <row r="30" spans="1:4" x14ac:dyDescent="0.25">
      <c r="A30" s="6" t="s">
        <v>23</v>
      </c>
      <c r="B30" s="6" t="s">
        <v>26</v>
      </c>
      <c r="C30" s="6" t="s">
        <v>27</v>
      </c>
      <c r="D30" s="6" t="s">
        <v>28</v>
      </c>
    </row>
    <row r="31" spans="1:4" x14ac:dyDescent="0.25">
      <c r="A31" s="2" t="s">
        <v>3</v>
      </c>
      <c r="B31" s="2">
        <v>450</v>
      </c>
      <c r="C31" s="7">
        <f>B31/500</f>
        <v>0.9</v>
      </c>
      <c r="D31" s="2" t="str">
        <f>IF(C31&gt;=90%,"A",IF(C31&gt;=75%,"B",IF(C31&gt;=60,"C","D")))</f>
        <v>A</v>
      </c>
    </row>
    <row r="32" spans="1:4" x14ac:dyDescent="0.25">
      <c r="A32" s="2" t="s">
        <v>4</v>
      </c>
      <c r="B32" s="2">
        <v>380</v>
      </c>
      <c r="C32" s="7">
        <f t="shared" ref="C32:C34" si="2">B32/500</f>
        <v>0.76</v>
      </c>
      <c r="D32" s="2" t="str">
        <f t="shared" ref="D32:D34" si="3">IF(C32&gt;=90%,"A",IF(C32&gt;=75%,"B",IF(C32&gt;=60,"C","D")))</f>
        <v>B</v>
      </c>
    </row>
    <row r="33" spans="1:7" x14ac:dyDescent="0.25">
      <c r="A33" s="2" t="s">
        <v>5</v>
      </c>
      <c r="B33" s="2">
        <v>290</v>
      </c>
      <c r="C33" s="7">
        <f t="shared" si="2"/>
        <v>0.57999999999999996</v>
      </c>
      <c r="D33" s="2" t="str">
        <f t="shared" si="3"/>
        <v>D</v>
      </c>
    </row>
    <row r="34" spans="1:7" x14ac:dyDescent="0.25">
      <c r="A34" s="2" t="s">
        <v>6</v>
      </c>
      <c r="B34" s="2">
        <v>495</v>
      </c>
      <c r="C34" s="7">
        <f t="shared" si="2"/>
        <v>0.99</v>
      </c>
      <c r="D34" s="2" t="str">
        <f t="shared" si="3"/>
        <v>A</v>
      </c>
    </row>
    <row r="38" spans="1:7" x14ac:dyDescent="0.25">
      <c r="A38" s="8" t="s">
        <v>11</v>
      </c>
      <c r="B38" s="8" t="s">
        <v>12</v>
      </c>
      <c r="C38" s="8" t="s">
        <v>29</v>
      </c>
      <c r="D38" s="8" t="s">
        <v>30</v>
      </c>
      <c r="E38" s="8" t="s">
        <v>31</v>
      </c>
    </row>
    <row r="39" spans="1:7" x14ac:dyDescent="0.25">
      <c r="A39" s="2" t="s">
        <v>15</v>
      </c>
      <c r="B39" s="2">
        <v>55000</v>
      </c>
      <c r="C39" s="9">
        <v>0.18</v>
      </c>
      <c r="D39" s="2">
        <f>B39*(1+$C$39)</f>
        <v>64900</v>
      </c>
      <c r="E39" s="3">
        <f>B39*$C$39</f>
        <v>9900</v>
      </c>
    </row>
    <row r="40" spans="1:7" x14ac:dyDescent="0.25">
      <c r="A40" s="2" t="s">
        <v>16</v>
      </c>
      <c r="B40" s="2">
        <v>500</v>
      </c>
      <c r="C40" s="9">
        <v>0.18</v>
      </c>
      <c r="D40" s="2">
        <f t="shared" ref="D40:D41" si="4">B40*(1+$C$39)</f>
        <v>590</v>
      </c>
      <c r="E40" s="3">
        <f t="shared" ref="E40:E41" si="5">B40*$C$39</f>
        <v>90</v>
      </c>
    </row>
    <row r="41" spans="1:7" x14ac:dyDescent="0.25">
      <c r="A41" s="2" t="s">
        <v>17</v>
      </c>
      <c r="B41" s="2">
        <v>1200</v>
      </c>
      <c r="C41" s="9">
        <v>0.18</v>
      </c>
      <c r="D41" s="2">
        <f t="shared" si="4"/>
        <v>1416</v>
      </c>
      <c r="E41" s="3">
        <f t="shared" si="5"/>
        <v>216</v>
      </c>
    </row>
    <row r="45" spans="1:7" x14ac:dyDescent="0.25">
      <c r="A45" s="10" t="s">
        <v>32</v>
      </c>
      <c r="B45" s="10" t="s">
        <v>0</v>
      </c>
      <c r="C45" s="10" t="s">
        <v>33</v>
      </c>
      <c r="E45" s="10" t="s">
        <v>32</v>
      </c>
      <c r="F45" s="10" t="s">
        <v>38</v>
      </c>
      <c r="G45" s="10" t="s">
        <v>33</v>
      </c>
    </row>
    <row r="46" spans="1:7" x14ac:dyDescent="0.25">
      <c r="A46" s="2">
        <v>101</v>
      </c>
      <c r="B46" s="2" t="s">
        <v>3</v>
      </c>
      <c r="C46" s="2" t="s">
        <v>34</v>
      </c>
      <c r="E46" s="2">
        <v>103</v>
      </c>
      <c r="F46" s="2" t="str">
        <f>VLOOKUP(E46,$A$46:$C$49,2,FALSE)</f>
        <v>Rahul</v>
      </c>
      <c r="G46" s="2" t="str">
        <f>VLOOKUP(E46,$A$46:$C$49,3,FALSE)</f>
        <v>Sales</v>
      </c>
    </row>
    <row r="47" spans="1:7" x14ac:dyDescent="0.25">
      <c r="A47" s="2">
        <v>102</v>
      </c>
      <c r="B47" s="2" t="s">
        <v>4</v>
      </c>
      <c r="C47" s="2" t="s">
        <v>35</v>
      </c>
    </row>
    <row r="48" spans="1:7" x14ac:dyDescent="0.25">
      <c r="A48" s="2">
        <v>103</v>
      </c>
      <c r="B48" s="2" t="s">
        <v>5</v>
      </c>
      <c r="C48" s="2" t="s">
        <v>36</v>
      </c>
    </row>
    <row r="49" spans="1:10" x14ac:dyDescent="0.25">
      <c r="A49" s="2">
        <v>104</v>
      </c>
      <c r="B49" s="2" t="s">
        <v>6</v>
      </c>
      <c r="C49" s="2" t="s">
        <v>37</v>
      </c>
    </row>
    <row r="52" spans="1:10" x14ac:dyDescent="0.25">
      <c r="A52" s="11" t="s">
        <v>39</v>
      </c>
      <c r="B52" s="11" t="s">
        <v>11</v>
      </c>
      <c r="C52" s="11" t="s">
        <v>12</v>
      </c>
      <c r="E52" s="12" t="s">
        <v>39</v>
      </c>
      <c r="F52" s="12" t="s">
        <v>11</v>
      </c>
      <c r="G52" s="12" t="s">
        <v>12</v>
      </c>
    </row>
    <row r="53" spans="1:10" x14ac:dyDescent="0.25">
      <c r="A53" s="2">
        <v>501</v>
      </c>
      <c r="B53" s="2" t="s">
        <v>15</v>
      </c>
      <c r="C53" s="2">
        <v>55000</v>
      </c>
      <c r="E53" s="2">
        <v>504</v>
      </c>
      <c r="F53" s="2" t="str">
        <f>VLOOKUP(E53,$A$53:$C$56,2,FALSE)</f>
        <v>Monitor</v>
      </c>
      <c r="G53" s="2">
        <f>VLOOKUP(E53,$A$53:$C$56,3,FALSE)</f>
        <v>1500</v>
      </c>
      <c r="I53" t="s">
        <v>42</v>
      </c>
      <c r="J53">
        <f>SUM(C53:C56)</f>
        <v>58200</v>
      </c>
    </row>
    <row r="54" spans="1:10" x14ac:dyDescent="0.25">
      <c r="A54" s="2">
        <v>502</v>
      </c>
      <c r="B54" s="2" t="s">
        <v>16</v>
      </c>
      <c r="C54" s="2">
        <v>500</v>
      </c>
      <c r="E54" s="2"/>
      <c r="F54" s="2"/>
      <c r="G54" s="2"/>
      <c r="I54" t="s">
        <v>43</v>
      </c>
      <c r="J54">
        <f>AVERAGE(C53:C56)</f>
        <v>14550</v>
      </c>
    </row>
    <row r="55" spans="1:10" x14ac:dyDescent="0.25">
      <c r="A55" s="2">
        <v>503</v>
      </c>
      <c r="B55" s="2" t="s">
        <v>40</v>
      </c>
      <c r="C55" s="2">
        <v>1200</v>
      </c>
      <c r="I55" t="s">
        <v>44</v>
      </c>
      <c r="J55" t="str">
        <f>IF(B21&gt;=40,"Pass","Fail")</f>
        <v>Pass</v>
      </c>
    </row>
    <row r="56" spans="1:10" x14ac:dyDescent="0.25">
      <c r="A56" s="2">
        <v>504</v>
      </c>
      <c r="B56" s="2" t="s">
        <v>41</v>
      </c>
      <c r="C56" s="2">
        <v>1500</v>
      </c>
      <c r="I56" t="s">
        <v>45</v>
      </c>
      <c r="J56" t="str">
        <f>VLOOKUP(A53,$A$53:$C$56,2,FALSE)</f>
        <v>Laptop</v>
      </c>
    </row>
    <row r="59" spans="1:10" x14ac:dyDescent="0.25">
      <c r="A59" s="13" t="s">
        <v>32</v>
      </c>
      <c r="B59" s="13" t="s">
        <v>0</v>
      </c>
      <c r="C59" s="13" t="s">
        <v>46</v>
      </c>
      <c r="E59" s="13" t="s">
        <v>47</v>
      </c>
      <c r="F59" s="13" t="s">
        <v>0</v>
      </c>
      <c r="G59" s="13" t="s">
        <v>46</v>
      </c>
    </row>
    <row r="60" spans="1:10" x14ac:dyDescent="0.25">
      <c r="A60" s="2">
        <v>101</v>
      </c>
      <c r="B60" s="2" t="s">
        <v>3</v>
      </c>
      <c r="C60" s="2">
        <v>30000</v>
      </c>
      <c r="E60" s="2">
        <v>102</v>
      </c>
      <c r="F60" s="2" t="str">
        <f>_xlfn.XLOOKUP(E60,A60:A63,B60:B63)</f>
        <v>Neha</v>
      </c>
      <c r="G60" s="2">
        <f>_xlfn.XLOOKUP(E60,A60:A63,C60:C63)</f>
        <v>45000</v>
      </c>
    </row>
    <row r="61" spans="1:10" x14ac:dyDescent="0.25">
      <c r="A61" s="2">
        <v>102</v>
      </c>
      <c r="B61" s="2" t="s">
        <v>4</v>
      </c>
      <c r="C61" s="2">
        <v>45000</v>
      </c>
    </row>
    <row r="62" spans="1:10" x14ac:dyDescent="0.25">
      <c r="A62" s="2">
        <v>103</v>
      </c>
      <c r="B62" s="2" t="s">
        <v>5</v>
      </c>
      <c r="C62" s="2">
        <v>40000</v>
      </c>
    </row>
    <row r="63" spans="1:10" x14ac:dyDescent="0.25">
      <c r="A63" s="2">
        <v>104</v>
      </c>
      <c r="B63" s="2" t="s">
        <v>6</v>
      </c>
      <c r="C63" s="2">
        <v>50000</v>
      </c>
    </row>
    <row r="66" spans="1:6" x14ac:dyDescent="0.25">
      <c r="A66" s="14" t="s">
        <v>39</v>
      </c>
      <c r="B66" s="14" t="s">
        <v>11</v>
      </c>
      <c r="C66" s="14" t="s">
        <v>12</v>
      </c>
    </row>
    <row r="67" spans="1:6" x14ac:dyDescent="0.25">
      <c r="A67" s="2">
        <v>501</v>
      </c>
      <c r="B67" s="2" t="s">
        <v>15</v>
      </c>
      <c r="C67" s="2">
        <v>55000</v>
      </c>
      <c r="E67" t="str">
        <f>INDEX(B67:B70,MATCH(503,A67:A70,0))</f>
        <v>Keyboard</v>
      </c>
    </row>
    <row r="68" spans="1:6" x14ac:dyDescent="0.25">
      <c r="A68" s="2">
        <v>502</v>
      </c>
      <c r="B68" s="2" t="s">
        <v>16</v>
      </c>
      <c r="C68" s="2">
        <v>500</v>
      </c>
    </row>
    <row r="69" spans="1:6" x14ac:dyDescent="0.25">
      <c r="A69" s="2">
        <v>503</v>
      </c>
      <c r="B69" s="2" t="s">
        <v>40</v>
      </c>
      <c r="C69" s="2">
        <v>1200</v>
      </c>
    </row>
    <row r="70" spans="1:6" x14ac:dyDescent="0.25">
      <c r="A70" s="2">
        <v>504</v>
      </c>
      <c r="B70" s="2" t="s">
        <v>41</v>
      </c>
      <c r="C70" s="2">
        <v>1500</v>
      </c>
    </row>
    <row r="73" spans="1:6" x14ac:dyDescent="0.25">
      <c r="A73" s="11" t="s">
        <v>2</v>
      </c>
      <c r="B73" s="11" t="s">
        <v>36</v>
      </c>
    </row>
    <row r="74" spans="1:6" x14ac:dyDescent="0.25">
      <c r="A74" s="2" t="s">
        <v>9</v>
      </c>
      <c r="B74" s="2">
        <v>10000</v>
      </c>
      <c r="D74" t="s">
        <v>48</v>
      </c>
      <c r="F74">
        <f>SUMIF(A74:A78,"Ranchi",B74:B78)</f>
        <v>25000</v>
      </c>
    </row>
    <row r="75" spans="1:6" x14ac:dyDescent="0.25">
      <c r="A75" s="2" t="s">
        <v>7</v>
      </c>
      <c r="B75" s="2">
        <v>15000</v>
      </c>
    </row>
    <row r="76" spans="1:6" x14ac:dyDescent="0.25">
      <c r="A76" s="2" t="s">
        <v>9</v>
      </c>
      <c r="B76" s="2">
        <v>8000</v>
      </c>
    </row>
    <row r="77" spans="1:6" x14ac:dyDescent="0.25">
      <c r="A77" s="2" t="s">
        <v>8</v>
      </c>
      <c r="B77" s="2">
        <v>12000</v>
      </c>
    </row>
    <row r="78" spans="1:6" x14ac:dyDescent="0.25">
      <c r="A78" s="2" t="s">
        <v>9</v>
      </c>
      <c r="B78" s="2">
        <v>7000</v>
      </c>
    </row>
    <row r="81" spans="1:8" x14ac:dyDescent="0.25">
      <c r="A81" s="15" t="s">
        <v>2</v>
      </c>
      <c r="B81" s="15" t="s">
        <v>11</v>
      </c>
      <c r="C81" s="15" t="s">
        <v>36</v>
      </c>
    </row>
    <row r="82" spans="1:8" x14ac:dyDescent="0.25">
      <c r="A82" s="2" t="s">
        <v>9</v>
      </c>
      <c r="B82" s="2" t="s">
        <v>15</v>
      </c>
      <c r="C82" s="2">
        <v>12000</v>
      </c>
      <c r="E82" t="s">
        <v>49</v>
      </c>
      <c r="H82">
        <f>SUMIFS(C82:C86,A82:A86,A82,B82:B86,B82)</f>
        <v>18000</v>
      </c>
    </row>
    <row r="83" spans="1:8" x14ac:dyDescent="0.25">
      <c r="A83" s="2" t="s">
        <v>9</v>
      </c>
      <c r="B83" s="2" t="s">
        <v>16</v>
      </c>
      <c r="C83" s="2">
        <v>3000</v>
      </c>
    </row>
    <row r="84" spans="1:8" x14ac:dyDescent="0.25">
      <c r="A84" s="2" t="s">
        <v>7</v>
      </c>
      <c r="B84" s="2" t="s">
        <v>15</v>
      </c>
      <c r="C84" s="2">
        <v>9000</v>
      </c>
    </row>
    <row r="85" spans="1:8" x14ac:dyDescent="0.25">
      <c r="A85" s="2" t="s">
        <v>9</v>
      </c>
      <c r="B85" s="2" t="s">
        <v>15</v>
      </c>
      <c r="C85" s="2">
        <v>6000</v>
      </c>
    </row>
    <row r="86" spans="1:8" x14ac:dyDescent="0.25">
      <c r="A86" s="2" t="s">
        <v>8</v>
      </c>
      <c r="B86" s="2" t="s">
        <v>15</v>
      </c>
      <c r="C86" s="2">
        <v>10000</v>
      </c>
    </row>
    <row r="89" spans="1:8" x14ac:dyDescent="0.25">
      <c r="A89" s="16" t="s">
        <v>11</v>
      </c>
    </row>
    <row r="90" spans="1:8" x14ac:dyDescent="0.25">
      <c r="A90" s="3" t="s">
        <v>15</v>
      </c>
      <c r="C90">
        <f>COUNTIF(A90:A95,"Laptop")</f>
        <v>3</v>
      </c>
    </row>
    <row r="91" spans="1:8" x14ac:dyDescent="0.25">
      <c r="A91" s="3" t="s">
        <v>16</v>
      </c>
    </row>
    <row r="92" spans="1:8" x14ac:dyDescent="0.25">
      <c r="A92" s="3" t="s">
        <v>15</v>
      </c>
    </row>
    <row r="93" spans="1:8" x14ac:dyDescent="0.25">
      <c r="A93" s="3" t="s">
        <v>40</v>
      </c>
    </row>
    <row r="94" spans="1:8" x14ac:dyDescent="0.25">
      <c r="A94" s="3" t="s">
        <v>15</v>
      </c>
    </row>
    <row r="95" spans="1:8" x14ac:dyDescent="0.25">
      <c r="A95" s="3" t="s">
        <v>16</v>
      </c>
    </row>
    <row r="98" spans="1:6" x14ac:dyDescent="0.25">
      <c r="A98" s="17" t="s">
        <v>2</v>
      </c>
      <c r="B98" s="17" t="s">
        <v>11</v>
      </c>
    </row>
    <row r="99" spans="1:6" x14ac:dyDescent="0.25">
      <c r="A99" s="2" t="s">
        <v>9</v>
      </c>
      <c r="B99" s="2" t="s">
        <v>15</v>
      </c>
      <c r="D99" t="s">
        <v>50</v>
      </c>
      <c r="F99">
        <f>COUNTIFS(A99:A104,"Ranchi",B99:B104,"Laptop")</f>
        <v>3</v>
      </c>
    </row>
    <row r="100" spans="1:6" x14ac:dyDescent="0.25">
      <c r="A100" s="2" t="s">
        <v>7</v>
      </c>
      <c r="B100" s="2" t="s">
        <v>15</v>
      </c>
    </row>
    <row r="101" spans="1:6" x14ac:dyDescent="0.25">
      <c r="A101" s="2" t="s">
        <v>9</v>
      </c>
      <c r="B101" s="2" t="s">
        <v>16</v>
      </c>
    </row>
    <row r="102" spans="1:6" x14ac:dyDescent="0.25">
      <c r="A102" s="2" t="s">
        <v>9</v>
      </c>
      <c r="B102" s="2" t="s">
        <v>15</v>
      </c>
    </row>
    <row r="103" spans="1:6" x14ac:dyDescent="0.25">
      <c r="A103" s="2" t="s">
        <v>8</v>
      </c>
      <c r="B103" s="2" t="s">
        <v>16</v>
      </c>
    </row>
    <row r="104" spans="1:6" x14ac:dyDescent="0.25">
      <c r="A104" s="2" t="s">
        <v>9</v>
      </c>
      <c r="B10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Ujjawal Prasad</dc:creator>
  <cp:lastModifiedBy>Ujjawal Prasad</cp:lastModifiedBy>
  <dcterms:created xsi:type="dcterms:W3CDTF">2026-09-02T10:15:38Z</dcterms:created>
  <dcterms:modified xsi:type="dcterms:W3CDTF">2026-09-03T04:55:50Z</dcterms:modified>
</cp:coreProperties>
</file>