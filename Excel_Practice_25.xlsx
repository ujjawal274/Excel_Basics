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_Practice_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##,##0"/>
    <numFmt numFmtId="165" formatCode="&quot;₹&quot;\ #,##0.00;[Red]&quot;₹&quot;\ #,##0.0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rial Unicode MS"/>
      <color theme="1"/>
      <sz val="10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3.5"/>
      <scheme val="minor"/>
    </font>
  </fonts>
  <fills count="4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cols>
    <col width="13.42578125" customWidth="1" min="1" max="1"/>
    <col width="12.28515625" customWidth="1" min="2" max="2"/>
    <col width="18" customWidth="1" min="3" max="3"/>
    <col width="15.140625" customWidth="1" min="4" max="4"/>
    <col width="17.5703125" customWidth="1" min="5" max="5"/>
    <col width="20.140625" customWidth="1" min="6" max="6"/>
    <col width="16.85546875" customWidth="1" min="7" max="7"/>
    <col width="14" customWidth="1" min="8" max="8"/>
    <col width="6.85546875" customWidth="1" min="9" max="9"/>
  </cols>
  <sheetData>
    <row r="1">
      <c r="A1" s="1" t="inlineStr">
        <is>
          <t>&gt;&gt;  Excel Revision + Practice Test — 25 Questions</t>
        </is>
      </c>
      <c r="B1" s="1" t="n"/>
      <c r="C1" s="1" t="n"/>
      <c r="D1" s="1" t="n"/>
      <c r="E1" s="1" t="n"/>
      <c r="F1" s="1" t="n"/>
    </row>
    <row r="2"/>
    <row r="3">
      <c r="A3" t="inlineStr">
        <is>
          <t>Q1. Relative Reference + SUM</t>
        </is>
      </c>
    </row>
    <row r="4"/>
    <row r="5">
      <c r="A5" s="2" t="inlineStr">
        <is>
          <t>Product</t>
        </is>
      </c>
      <c r="B5" s="2" t="inlineStr">
        <is>
          <t>Jan Sales</t>
        </is>
      </c>
      <c r="C5" s="2" t="inlineStr">
        <is>
          <t>Feb Sales</t>
        </is>
      </c>
      <c r="D5" s="2" t="inlineStr">
        <is>
          <t>Mar Sales</t>
        </is>
      </c>
      <c r="E5" s="3" t="inlineStr">
        <is>
          <t>Total Sales</t>
        </is>
      </c>
    </row>
    <row r="6">
      <c r="A6" s="4" t="inlineStr">
        <is>
          <t>Laptop</t>
        </is>
      </c>
      <c r="B6" s="4" t="n">
        <v>50000</v>
      </c>
      <c r="C6" s="4" t="n">
        <v>55000</v>
      </c>
      <c r="D6" s="4" t="n">
        <v>60000</v>
      </c>
      <c r="E6" s="5">
        <f>SUM(B6:D6)</f>
        <v/>
      </c>
      <c r="G6" t="inlineStr">
        <is>
          <t>E2 mein Total Sales nikalo:</t>
        </is>
      </c>
    </row>
    <row r="7">
      <c r="A7" s="4" t="inlineStr">
        <is>
          <t>Mobile</t>
        </is>
      </c>
      <c r="B7" s="4" t="n">
        <v>30000</v>
      </c>
      <c r="C7" s="4" t="n">
        <v>35000</v>
      </c>
      <c r="D7" s="4" t="n">
        <v>40000</v>
      </c>
      <c r="E7" s="5">
        <f>SUM(B7:D7)</f>
        <v/>
      </c>
      <c r="G7" s="6" t="inlineStr">
        <is>
          <t>Jan + Feb + Mar</t>
        </is>
      </c>
    </row>
    <row r="8">
      <c r="A8" s="4" t="inlineStr">
        <is>
          <t>Tablet</t>
        </is>
      </c>
      <c r="B8" s="4" t="n">
        <v>20000</v>
      </c>
      <c r="C8" s="4" t="n">
        <v>25000</v>
      </c>
      <c r="D8" s="4" t="n">
        <v>28000</v>
      </c>
      <c r="E8" s="5">
        <f>SUM(B8:D8)</f>
        <v/>
      </c>
    </row>
    <row r="9">
      <c r="A9" s="4" t="inlineStr">
        <is>
          <t>Monitor</t>
        </is>
      </c>
      <c r="B9" s="4" t="n">
        <v>15000</v>
      </c>
      <c r="C9" s="4" t="n">
        <v>18000</v>
      </c>
      <c r="D9" s="4" t="n">
        <v>22000</v>
      </c>
      <c r="E9" s="5">
        <f>SUM(B9:D9)</f>
        <v/>
      </c>
    </row>
    <row r="10"/>
    <row r="11">
      <c r="A11" t="inlineStr">
        <is>
          <t>Q2. Absolute Reference + IF</t>
        </is>
      </c>
    </row>
    <row r="12"/>
    <row r="13">
      <c r="A13" s="2" t="inlineStr">
        <is>
          <t>Employee</t>
        </is>
      </c>
      <c r="B13" s="2" t="inlineStr">
        <is>
          <t>Sales</t>
        </is>
      </c>
      <c r="C13" s="3" t="inlineStr">
        <is>
          <t>About Target</t>
        </is>
      </c>
      <c r="D13" s="7" t="inlineStr">
        <is>
          <t>Target =</t>
        </is>
      </c>
      <c r="E13" s="8" t="n">
        <v>70000</v>
      </c>
      <c r="G13" s="9" t="inlineStr">
        <is>
          <t>Sales &gt;= Target → "Target Achieved"</t>
        </is>
      </c>
    </row>
    <row r="14">
      <c r="A14" s="4" t="inlineStr">
        <is>
          <t>Amit</t>
        </is>
      </c>
      <c r="B14" s="4" t="n">
        <v>85000</v>
      </c>
      <c r="C14" s="5">
        <f>IF(B14&gt;=$E$13,"Target Achieved","Target Not Achieved")</f>
        <v/>
      </c>
      <c r="G14" s="9" t="inlineStr">
        <is>
          <t>Sales &lt; Target → "Target Not Achieved"</t>
        </is>
      </c>
    </row>
    <row r="15">
      <c r="A15" s="4" t="inlineStr">
        <is>
          <t>Rahul</t>
        </is>
      </c>
      <c r="B15" s="4" t="n">
        <v>62000</v>
      </c>
      <c r="C15" s="5">
        <f>IF(B15&gt;=$E$13,"Target Achieved","Target Not Achieved")</f>
        <v/>
      </c>
      <c r="G15" t="inlineStr">
        <is>
          <t>Target cell ko absolute reference banana hai.</t>
        </is>
      </c>
    </row>
    <row r="16">
      <c r="A16" s="4" t="inlineStr">
        <is>
          <t>Priya</t>
        </is>
      </c>
      <c r="B16" s="4" t="n">
        <v>95000</v>
      </c>
      <c r="C16" s="5">
        <f>IF(B16&gt;=$E$13,"Target Achieved","Target Not Achieved")</f>
        <v/>
      </c>
    </row>
    <row r="17">
      <c r="A17" s="4" t="inlineStr">
        <is>
          <t>Kunal</t>
        </is>
      </c>
      <c r="B17" s="4" t="n">
        <v>45000</v>
      </c>
      <c r="C17" s="5">
        <f>IF(B17&gt;=$E$13,"Target Achieved","Target Not Achieved")</f>
        <v/>
      </c>
    </row>
    <row r="18"/>
    <row r="19">
      <c r="A19" t="inlineStr">
        <is>
          <t>Q3. SUM + AVERAGE</t>
        </is>
      </c>
    </row>
    <row r="20"/>
    <row r="21">
      <c r="A21" s="2" t="inlineStr">
        <is>
          <t>Employee</t>
        </is>
      </c>
      <c r="B21" s="2" t="inlineStr">
        <is>
          <t>Salary</t>
        </is>
      </c>
      <c r="C21" s="3" t="inlineStr">
        <is>
          <t>Total Salary</t>
        </is>
      </c>
      <c r="D21" s="3" t="inlineStr">
        <is>
          <t>Average Salary</t>
        </is>
      </c>
      <c r="F21" t="inlineStr">
        <is>
          <t>Total Salary nikalo.</t>
        </is>
      </c>
    </row>
    <row r="22">
      <c r="A22" s="4" t="inlineStr">
        <is>
          <t>Amit</t>
        </is>
      </c>
      <c r="B22" s="4" t="n">
        <v>25000</v>
      </c>
      <c r="C22" s="5">
        <f>SUM(B22:B26)</f>
        <v/>
      </c>
      <c r="D22" s="5">
        <f>AVERAGE(B22:B26)</f>
        <v/>
      </c>
      <c r="F22" t="inlineStr">
        <is>
          <t>Average Salary nikalo.</t>
        </is>
      </c>
    </row>
    <row r="23">
      <c r="A23" s="4" t="inlineStr">
        <is>
          <t>Rahul</t>
        </is>
      </c>
      <c r="B23" s="4" t="n">
        <v>30000</v>
      </c>
      <c r="C23" s="5" t="n"/>
      <c r="D23" s="5" t="n"/>
    </row>
    <row r="24">
      <c r="A24" s="4" t="inlineStr">
        <is>
          <t>Priya</t>
        </is>
      </c>
      <c r="B24" s="4" t="n">
        <v>40000</v>
      </c>
      <c r="C24" s="5" t="n"/>
      <c r="D24" s="5" t="n"/>
    </row>
    <row r="25">
      <c r="A25" s="4" t="inlineStr">
        <is>
          <t>Kunal</t>
        </is>
      </c>
      <c r="B25" s="4" t="n">
        <v>35000</v>
      </c>
      <c r="C25" s="5" t="n"/>
      <c r="D25" s="5" t="n"/>
    </row>
    <row r="26">
      <c r="A26" s="4" t="inlineStr">
        <is>
          <t>Sneha</t>
        </is>
      </c>
      <c r="B26" s="4" t="n">
        <v>32000</v>
      </c>
      <c r="C26" s="5" t="n"/>
      <c r="D26" s="5" t="n"/>
    </row>
    <row r="27"/>
    <row r="28">
      <c r="A28" t="inlineStr">
        <is>
          <t>Q4. COUNT</t>
        </is>
      </c>
    </row>
    <row r="29"/>
    <row r="30">
      <c r="A30" s="2" t="inlineStr">
        <is>
          <t>Employee</t>
        </is>
      </c>
      <c r="B30" s="2" t="inlineStr">
        <is>
          <t>Age</t>
        </is>
      </c>
      <c r="C30" s="3" t="inlineStr">
        <is>
          <t xml:space="preserve">No. of Entries </t>
        </is>
      </c>
    </row>
    <row r="31">
      <c r="A31" s="4" t="inlineStr">
        <is>
          <t>Amit</t>
        </is>
      </c>
      <c r="B31" s="4" t="n">
        <v>22</v>
      </c>
      <c r="C31" s="5">
        <f>COUNT(B31:B36)</f>
        <v/>
      </c>
      <c r="E31" t="inlineStr">
        <is>
          <t>Age column mein kitni numeric entries hain?</t>
        </is>
      </c>
    </row>
    <row r="32">
      <c r="A32" s="4" t="inlineStr">
        <is>
          <t>Rahul</t>
        </is>
      </c>
      <c r="B32" s="4" t="n">
        <v>25</v>
      </c>
      <c r="C32" s="5" t="n"/>
    </row>
    <row r="33">
      <c r="A33" s="4" t="inlineStr">
        <is>
          <t>Priya</t>
        </is>
      </c>
      <c r="B33" s="4" t="n"/>
      <c r="C33" s="5" t="n"/>
    </row>
    <row r="34">
      <c r="A34" s="4" t="inlineStr">
        <is>
          <t>Kunal</t>
        </is>
      </c>
      <c r="B34" s="4" t="n">
        <v>28</v>
      </c>
      <c r="C34" s="5" t="n"/>
    </row>
    <row r="35">
      <c r="A35" s="4" t="inlineStr">
        <is>
          <t>Sneha</t>
        </is>
      </c>
      <c r="B35" s="4" t="n">
        <v>24</v>
      </c>
      <c r="C35" s="5" t="n"/>
    </row>
    <row r="36">
      <c r="A36" s="4" t="inlineStr">
        <is>
          <t>Ravi</t>
        </is>
      </c>
      <c r="B36" s="4" t="n"/>
      <c r="C36" s="5" t="n"/>
    </row>
    <row r="37"/>
    <row r="38">
      <c r="A38" t="inlineStr">
        <is>
          <t>Q5. Number + Currency Formatting</t>
        </is>
      </c>
    </row>
    <row r="39"/>
    <row r="40">
      <c r="A40" s="3" t="inlineStr">
        <is>
          <t>No.</t>
        </is>
      </c>
      <c r="B40" s="3" t="n">
        <v>1</v>
      </c>
      <c r="C40" s="3" t="n">
        <v>2</v>
      </c>
      <c r="E40" t="inlineStr">
        <is>
          <t>1.  Indian number format mein display karo:</t>
        </is>
      </c>
    </row>
    <row r="41">
      <c r="A41" s="10" t="n">
        <v>12500</v>
      </c>
      <c r="B41" s="11" t="n">
        <v>12500</v>
      </c>
      <c r="C41" s="12" t="n">
        <v>12500</v>
      </c>
      <c r="E41" s="6" t="inlineStr">
        <is>
          <t>12,500, 50,000, 2,50,000, 15,00,000</t>
        </is>
      </c>
    </row>
    <row r="42">
      <c r="A42" s="10" t="n">
        <v>50000</v>
      </c>
      <c r="B42" s="11" t="n">
        <v>50000</v>
      </c>
      <c r="C42" s="12" t="n">
        <v>50000</v>
      </c>
      <c r="E42" t="inlineStr">
        <is>
          <t>2.  Values ko ₹ currency format mein display karo.</t>
        </is>
      </c>
    </row>
    <row r="43">
      <c r="A43" s="10" t="n">
        <v>250000</v>
      </c>
      <c r="B43" s="11" t="n">
        <v>250000</v>
      </c>
      <c r="C43" s="12" t="n">
        <v>250000</v>
      </c>
    </row>
    <row r="44">
      <c r="A44" s="10" t="n">
        <v>1500000</v>
      </c>
      <c r="B44" s="11" t="n">
        <v>1500000</v>
      </c>
      <c r="C44" s="12" t="n">
        <v>1500000</v>
      </c>
    </row>
    <row r="45"/>
    <row r="46">
      <c r="A46" t="inlineStr">
        <is>
          <t>Q6. VLOOKUP</t>
        </is>
      </c>
    </row>
    <row r="47"/>
    <row r="48">
      <c r="A48" s="13" t="inlineStr">
        <is>
          <t>EmpID</t>
        </is>
      </c>
      <c r="B48" s="13" t="inlineStr">
        <is>
          <t>Employee</t>
        </is>
      </c>
      <c r="C48" s="13" t="inlineStr">
        <is>
          <t>Department</t>
        </is>
      </c>
      <c r="D48" s="13" t="inlineStr">
        <is>
          <t>Salary</t>
        </is>
      </c>
      <c r="F48" s="13" t="inlineStr">
        <is>
          <t>Vlookup</t>
        </is>
      </c>
    </row>
    <row r="49">
      <c r="A49" s="14" t="n">
        <v>101</v>
      </c>
      <c r="B49" s="14" t="inlineStr">
        <is>
          <t>Amit</t>
        </is>
      </c>
      <c r="C49" s="14" t="inlineStr">
        <is>
          <t>Sales</t>
        </is>
      </c>
      <c r="D49" s="14" t="n">
        <v>25000</v>
      </c>
      <c r="F49" s="15">
        <f>VLOOKUP(H49,A49:D53,3,FALSE)</f>
        <v/>
      </c>
      <c r="H49" s="8" t="n">
        <v>104</v>
      </c>
    </row>
    <row r="50">
      <c r="A50" s="14" t="n">
        <v>102</v>
      </c>
      <c r="B50" s="14" t="inlineStr">
        <is>
          <t>Rahul</t>
        </is>
      </c>
      <c r="C50" s="14" t="inlineStr">
        <is>
          <t>HR</t>
        </is>
      </c>
      <c r="D50" s="14" t="n">
        <v>30000</v>
      </c>
      <c r="F50" s="15" t="n"/>
    </row>
    <row r="51">
      <c r="A51" s="14" t="n">
        <v>103</v>
      </c>
      <c r="B51" s="14" t="inlineStr">
        <is>
          <t>Priya</t>
        </is>
      </c>
      <c r="C51" s="14" t="inlineStr">
        <is>
          <t>IT</t>
        </is>
      </c>
      <c r="D51" s="14" t="n">
        <v>45000</v>
      </c>
      <c r="F51" s="15" t="n"/>
      <c r="H51" t="inlineStr">
        <is>
          <t>VLOOKUP से Kunal ka Department निकालो.</t>
        </is>
      </c>
    </row>
    <row r="52">
      <c r="A52" s="14" t="n">
        <v>104</v>
      </c>
      <c r="B52" s="14" t="inlineStr">
        <is>
          <t>Kunal</t>
        </is>
      </c>
      <c r="C52" s="14" t="inlineStr">
        <is>
          <t>Finance</t>
        </is>
      </c>
      <c r="D52" s="14" t="n">
        <v>40000</v>
      </c>
      <c r="F52" s="15" t="n"/>
    </row>
    <row r="53">
      <c r="A53" s="14" t="n">
        <v>105</v>
      </c>
      <c r="B53" s="14" t="inlineStr">
        <is>
          <t>Sneha</t>
        </is>
      </c>
      <c r="C53" s="14" t="inlineStr">
        <is>
          <t>Sales</t>
        </is>
      </c>
      <c r="D53" s="14" t="n">
        <v>35000</v>
      </c>
      <c r="F53" s="15" t="n"/>
    </row>
    <row r="54"/>
    <row r="55">
      <c r="A55" t="inlineStr">
        <is>
          <t>Q7. HLOOKUP</t>
        </is>
      </c>
    </row>
    <row r="56"/>
    <row r="57">
      <c r="A57" s="2" t="inlineStr">
        <is>
          <t>Month</t>
        </is>
      </c>
      <c r="B57" s="4" t="inlineStr">
        <is>
          <t>Jan</t>
        </is>
      </c>
      <c r="C57" s="4" t="inlineStr">
        <is>
          <t>Feb</t>
        </is>
      </c>
      <c r="D57" s="4" t="inlineStr">
        <is>
          <t>Mar</t>
        </is>
      </c>
      <c r="E57" s="4" t="inlineStr">
        <is>
          <t>Apr</t>
        </is>
      </c>
      <c r="G57" s="2" t="inlineStr">
        <is>
          <t>HLOOKUP</t>
        </is>
      </c>
    </row>
    <row r="58">
      <c r="A58" s="2" t="inlineStr">
        <is>
          <t>Sales</t>
        </is>
      </c>
      <c r="B58" s="4" t="n">
        <v>50000</v>
      </c>
      <c r="C58" s="4" t="n">
        <v>60000</v>
      </c>
      <c r="D58" s="4" t="n">
        <v>75000</v>
      </c>
      <c r="E58" s="4" t="n">
        <v>90000</v>
      </c>
      <c r="G58" s="15">
        <f>HLOOKUP("Mar",B57:E59,2,FALSE)</f>
        <v/>
      </c>
      <c r="I58" t="inlineStr">
        <is>
          <t>HLOOKUP से March Sales निकालो.</t>
        </is>
      </c>
    </row>
    <row r="59">
      <c r="A59" s="2" t="inlineStr">
        <is>
          <t>Profit</t>
        </is>
      </c>
      <c r="B59" s="4" t="n">
        <v>10000</v>
      </c>
      <c r="C59" s="4" t="n">
        <v>12000</v>
      </c>
      <c r="D59" s="4" t="n">
        <v>15000</v>
      </c>
      <c r="E59" s="4" t="n">
        <v>18000</v>
      </c>
      <c r="G59" s="16" t="n"/>
    </row>
    <row r="60"/>
    <row r="61">
      <c r="A61" t="inlineStr">
        <is>
          <t>Q8. XLOOKUP + Not Found</t>
        </is>
      </c>
    </row>
    <row r="62"/>
    <row r="63">
      <c r="A63" s="13" t="inlineStr">
        <is>
          <t>Product ID</t>
        </is>
      </c>
      <c r="B63" s="13" t="inlineStr">
        <is>
          <t>Product</t>
        </is>
      </c>
      <c r="C63" s="13" t="inlineStr">
        <is>
          <t>Price</t>
        </is>
      </c>
      <c r="E63" s="13" t="inlineStr">
        <is>
          <t>XLOOKUP</t>
        </is>
      </c>
      <c r="I63" t="inlineStr">
        <is>
          <t>XLOOKUP लगाओ.</t>
        </is>
      </c>
    </row>
    <row r="64">
      <c r="A64" s="14" t="inlineStr">
        <is>
          <t>P101</t>
        </is>
      </c>
      <c r="B64" s="14" t="inlineStr">
        <is>
          <t>Laptop</t>
        </is>
      </c>
      <c r="C64" s="14" t="n">
        <v>50000</v>
      </c>
      <c r="E64" s="15">
        <f>_xlfn.XLOOKUP(G64,A64:A67,C64:C67,"Product Not Found")</f>
        <v/>
      </c>
      <c r="G64" s="17" t="inlineStr">
        <is>
          <t>P999</t>
        </is>
      </c>
      <c r="I64" t="inlineStr">
        <is>
          <t>Product न मिले तो:</t>
        </is>
      </c>
    </row>
    <row r="65">
      <c r="A65" s="14" t="inlineStr">
        <is>
          <t>P102</t>
        </is>
      </c>
      <c r="B65" s="14" t="inlineStr">
        <is>
          <t>Mouse</t>
        </is>
      </c>
      <c r="C65" s="14" t="n">
        <v>800</v>
      </c>
      <c r="E65" s="15" t="n"/>
      <c r="I65" s="18" t="inlineStr">
        <is>
          <t>Product Not Found</t>
        </is>
      </c>
    </row>
    <row r="66">
      <c r="A66" s="14" t="inlineStr">
        <is>
          <t>P103</t>
        </is>
      </c>
      <c r="B66" s="14" t="inlineStr">
        <is>
          <t>Keyboard</t>
        </is>
      </c>
      <c r="C66" s="14" t="n">
        <v>1200</v>
      </c>
      <c r="E66" s="15" t="n"/>
      <c r="I66" t="inlineStr">
        <is>
          <t>दिखना चाहिए.</t>
        </is>
      </c>
    </row>
    <row r="67">
      <c r="A67" s="14" t="inlineStr">
        <is>
          <t>P104</t>
        </is>
      </c>
      <c r="B67" s="14" t="inlineStr">
        <is>
          <t>Monitor</t>
        </is>
      </c>
      <c r="C67" s="14" t="n">
        <v>15000</v>
      </c>
      <c r="E67" s="15" t="n"/>
    </row>
    <row r="68"/>
    <row r="69">
      <c r="A69" t="inlineStr">
        <is>
          <t>Q9. MATCH + INDEX</t>
        </is>
      </c>
    </row>
    <row r="70"/>
    <row r="71">
      <c r="A71" s="13" t="inlineStr">
        <is>
          <t>Product</t>
        </is>
      </c>
      <c r="B71" s="13" t="inlineStr">
        <is>
          <t>Price</t>
        </is>
      </c>
      <c r="C71" s="19" t="inlineStr">
        <is>
          <t>MATCH</t>
        </is>
      </c>
      <c r="D71" s="19" t="inlineStr">
        <is>
          <t>INDEX</t>
        </is>
      </c>
    </row>
    <row r="72">
      <c r="A72" s="14" t="inlineStr">
        <is>
          <t>Laptop</t>
        </is>
      </c>
      <c r="B72" s="14" t="n">
        <v>50000</v>
      </c>
      <c r="C72" s="15">
        <f>MATCH(A74,A72:A76,0)</f>
        <v/>
      </c>
      <c r="D72" s="15">
        <f t="array" ref="D72">INDEX(B72:B76,3,)</f>
        <v/>
      </c>
      <c r="F72" s="20" t="inlineStr">
        <is>
          <t>1. MATCH से "Keyboard" की position निकालो.</t>
        </is>
      </c>
    </row>
    <row r="73">
      <c r="A73" s="14" t="inlineStr">
        <is>
          <t>Mouse</t>
        </is>
      </c>
      <c r="B73" s="14" t="n">
        <v>800</v>
      </c>
      <c r="C73" s="16" t="n"/>
      <c r="D73" s="16" t="n"/>
      <c r="F73" s="20" t="inlineStr">
        <is>
          <t>2. INDEX से Keyboard की Price निकालो.</t>
        </is>
      </c>
    </row>
    <row r="74">
      <c r="A74" s="14" t="inlineStr">
        <is>
          <t>Keyboard</t>
        </is>
      </c>
      <c r="B74" s="14" t="n">
        <v>1200</v>
      </c>
      <c r="C74" s="16" t="n"/>
      <c r="D74" s="16" t="n"/>
    </row>
    <row r="75">
      <c r="A75" s="14" t="inlineStr">
        <is>
          <t>Monitor</t>
        </is>
      </c>
      <c r="B75" s="14" t="n">
        <v>15000</v>
      </c>
      <c r="C75" s="16" t="n"/>
      <c r="D75" s="16" t="n"/>
    </row>
    <row r="76">
      <c r="A76" s="14" t="inlineStr">
        <is>
          <t>Printer</t>
        </is>
      </c>
      <c r="B76" s="14" t="n">
        <v>12000</v>
      </c>
      <c r="C76" s="16" t="n"/>
      <c r="D76" s="16" t="n"/>
    </row>
    <row r="77"/>
    <row r="78">
      <c r="A78" t="inlineStr">
        <is>
          <t>Q10. INDEX + MATCH</t>
        </is>
      </c>
    </row>
    <row r="79"/>
    <row r="80">
      <c r="A80" s="13" t="inlineStr">
        <is>
          <t>EmpID</t>
        </is>
      </c>
      <c r="B80" s="13" t="inlineStr">
        <is>
          <t>Employee</t>
        </is>
      </c>
      <c r="C80" s="13" t="inlineStr">
        <is>
          <t>Department</t>
        </is>
      </c>
      <c r="D80" s="13" t="inlineStr">
        <is>
          <t>Salary</t>
        </is>
      </c>
      <c r="E80" s="13" t="inlineStr">
        <is>
          <t>INDEX + MATCH</t>
        </is>
      </c>
    </row>
    <row r="81">
      <c r="A81" s="14" t="n">
        <v>101</v>
      </c>
      <c r="B81" s="14" t="inlineStr">
        <is>
          <t>Amit</t>
        </is>
      </c>
      <c r="C81" s="14" t="inlineStr">
        <is>
          <t>Sales</t>
        </is>
      </c>
      <c r="D81" s="14" t="n">
        <v>25000</v>
      </c>
      <c r="E81" s="15">
        <f>INDEX(D81:D85,MATCH(G81,A81:A85,0))</f>
        <v/>
      </c>
      <c r="G81" s="8" t="n">
        <v>105</v>
      </c>
      <c r="I81" t="inlineStr">
        <is>
          <t>INDEX + MATCH से Sneha की Salary निकालो.</t>
        </is>
      </c>
    </row>
    <row r="82">
      <c r="A82" s="14" t="n">
        <v>102</v>
      </c>
      <c r="B82" s="14" t="inlineStr">
        <is>
          <t>Rahul</t>
        </is>
      </c>
      <c r="C82" s="14" t="inlineStr">
        <is>
          <t>HR</t>
        </is>
      </c>
      <c r="D82" s="14" t="n">
        <v>30000</v>
      </c>
      <c r="E82" s="16" t="n"/>
    </row>
    <row r="83">
      <c r="A83" s="14" t="n">
        <v>103</v>
      </c>
      <c r="B83" s="14" t="inlineStr">
        <is>
          <t>Priya</t>
        </is>
      </c>
      <c r="C83" s="14" t="inlineStr">
        <is>
          <t>IT</t>
        </is>
      </c>
      <c r="D83" s="14" t="n">
        <v>45000</v>
      </c>
      <c r="E83" s="16" t="n"/>
    </row>
    <row r="84">
      <c r="A84" s="14" t="n">
        <v>104</v>
      </c>
      <c r="B84" s="14" t="inlineStr">
        <is>
          <t>Kunal</t>
        </is>
      </c>
      <c r="C84" s="14" t="inlineStr">
        <is>
          <t>Finance</t>
        </is>
      </c>
      <c r="D84" s="14" t="n">
        <v>40000</v>
      </c>
      <c r="E84" s="16" t="n"/>
    </row>
    <row r="85">
      <c r="A85" s="14" t="n">
        <v>105</v>
      </c>
      <c r="B85" s="14" t="inlineStr">
        <is>
          <t>Sneha</t>
        </is>
      </c>
      <c r="C85" s="14" t="inlineStr">
        <is>
          <t>Sales</t>
        </is>
      </c>
      <c r="D85" s="14" t="n">
        <v>35000</v>
      </c>
      <c r="E85" s="16" t="n"/>
    </row>
    <row r="86"/>
    <row r="87">
      <c r="A87" t="inlineStr">
        <is>
          <t>Q23. Employee Performance</t>
        </is>
      </c>
    </row>
    <row r="88"/>
    <row r="89">
      <c r="A89" s="13" t="inlineStr">
        <is>
          <t>EmpID</t>
        </is>
      </c>
      <c r="B89" s="13" t="inlineStr">
        <is>
          <t>Employee</t>
        </is>
      </c>
      <c r="C89" s="13" t="inlineStr">
        <is>
          <t>Department</t>
        </is>
      </c>
      <c r="D89" s="13" t="inlineStr">
        <is>
          <t>Sales</t>
        </is>
      </c>
      <c r="E89" s="13" t="inlineStr">
        <is>
          <t>Target</t>
        </is>
      </c>
      <c r="F89" s="13" t="inlineStr">
        <is>
          <t>About Target</t>
        </is>
      </c>
    </row>
    <row r="90">
      <c r="A90" s="14" t="n">
        <v>101</v>
      </c>
      <c r="B90" s="14" t="inlineStr">
        <is>
          <t>Amit</t>
        </is>
      </c>
      <c r="C90" s="14" t="inlineStr">
        <is>
          <t>Sales</t>
        </is>
      </c>
      <c r="D90" s="14" t="n">
        <v>85000</v>
      </c>
      <c r="E90" s="15">
        <f>_xlfn.XLOOKUP(C90,A99:A102,B99:B102)</f>
        <v/>
      </c>
      <c r="F90" s="15">
        <f>IF(D90&gt;=E90,"Target Achieved","Target Not Achieved")</f>
        <v/>
      </c>
      <c r="H90" t="inlineStr">
        <is>
          <t>Target column mein XLOOKUP se department ka Target lao.</t>
        </is>
      </c>
    </row>
    <row r="91">
      <c r="A91" s="14" t="n">
        <v>102</v>
      </c>
      <c r="B91" s="14" t="inlineStr">
        <is>
          <t>Rahul</t>
        </is>
      </c>
      <c r="C91" s="14" t="inlineStr">
        <is>
          <t>HR</t>
        </is>
      </c>
      <c r="D91" s="14" t="n">
        <v>45000</v>
      </c>
      <c r="E91" s="15">
        <f>_xlfn.XLOOKUP(C91,$A$99:$A$102,$B$99:$B$102)</f>
        <v/>
      </c>
      <c r="F91" s="15">
        <f>IF(D91&gt;=E91,"Target Achieved","Target Not Achieved")</f>
        <v/>
      </c>
      <c r="H91" t="inlineStr">
        <is>
          <t>Phir Status column mein:</t>
        </is>
      </c>
    </row>
    <row r="92">
      <c r="A92" s="14" t="n">
        <v>103</v>
      </c>
      <c r="B92" s="14" t="inlineStr">
        <is>
          <t>Priya</t>
        </is>
      </c>
      <c r="C92" s="14" t="inlineStr">
        <is>
          <t>IT</t>
        </is>
      </c>
      <c r="D92" s="14" t="n">
        <v>120000</v>
      </c>
      <c r="E92" s="15">
        <f>_xlfn.XLOOKUP(C92,$A$99:$A$102,$B$99:$B$102)</f>
        <v/>
      </c>
      <c r="F92" s="15">
        <f>IF(D92&gt;=E92,"Target Achieved","Target Not Achieved")</f>
        <v/>
      </c>
    </row>
    <row r="93">
      <c r="A93" s="14" t="n">
        <v>104</v>
      </c>
      <c r="B93" s="14" t="inlineStr">
        <is>
          <t>Kunal</t>
        </is>
      </c>
      <c r="C93" s="14" t="inlineStr">
        <is>
          <t>Finance</t>
        </is>
      </c>
      <c r="D93" s="14" t="n">
        <v>65000</v>
      </c>
      <c r="E93" s="15">
        <f>_xlfn.XLOOKUP(C93,$A$99:$A$102,$B$99:$B$102)</f>
        <v/>
      </c>
      <c r="F93" s="15">
        <f>IF(D93&gt;=E93,"Target Achieved","Target Not Achieved")</f>
        <v/>
      </c>
      <c r="H93" s="18" t="inlineStr">
        <is>
          <t>Sales &gt;= Target → Target Achieved</t>
        </is>
      </c>
    </row>
    <row r="94">
      <c r="A94" s="14" t="n">
        <v>105</v>
      </c>
      <c r="B94" s="14" t="inlineStr">
        <is>
          <t>Sneha</t>
        </is>
      </c>
      <c r="C94" s="14" t="inlineStr">
        <is>
          <t>Sales</t>
        </is>
      </c>
      <c r="D94" s="14" t="n">
        <v>95000</v>
      </c>
      <c r="E94" s="15">
        <f>_xlfn.XLOOKUP(C94,$A$99:$A$102,$B$99:$B$102)</f>
        <v/>
      </c>
      <c r="F94" s="15">
        <f>IF(D94&gt;=E94,"Target Achieved","Target Not Achieved")</f>
        <v/>
      </c>
      <c r="H94" s="18" t="inlineStr">
        <is>
          <t>Sales &lt; Target → Target Not Achieved</t>
        </is>
      </c>
    </row>
    <row r="95"/>
    <row r="96">
      <c r="A96" t="inlineStr">
        <is>
          <t>Target Table:</t>
        </is>
      </c>
    </row>
    <row r="97"/>
    <row r="98">
      <c r="A98" s="13" t="inlineStr">
        <is>
          <t>Department</t>
        </is>
      </c>
      <c r="B98" s="13" t="inlineStr">
        <is>
          <t>Target</t>
        </is>
      </c>
    </row>
    <row r="99">
      <c r="A99" s="14" t="inlineStr">
        <is>
          <t>Sales</t>
        </is>
      </c>
      <c r="B99" s="14" t="n">
        <v>80000</v>
      </c>
    </row>
    <row r="100">
      <c r="A100" s="14" t="inlineStr">
        <is>
          <t>HR</t>
        </is>
      </c>
      <c r="B100" s="14" t="n">
        <v>50000</v>
      </c>
    </row>
    <row r="101">
      <c r="A101" s="14" t="inlineStr">
        <is>
          <t>IT</t>
        </is>
      </c>
      <c r="B101" s="14" t="n">
        <v>100000</v>
      </c>
    </row>
    <row r="102">
      <c r="A102" s="14" t="inlineStr">
        <is>
          <t>Finance</t>
        </is>
      </c>
      <c r="B102" s="14" t="n">
        <v>70000</v>
      </c>
    </row>
    <row r="103">
      <c r="F103" s="21" t="inlineStr">
        <is>
          <t>Task: Bonus column banao:</t>
        </is>
      </c>
    </row>
    <row r="104">
      <c r="A104" t="inlineStr">
        <is>
          <t>Q24. Bonus Calculation</t>
        </is>
      </c>
      <c r="F104" s="18" t="inlineStr">
        <is>
          <t>Target Achieved → Sales ka 10%</t>
        </is>
      </c>
    </row>
    <row r="105">
      <c r="F105" s="18" t="inlineStr">
        <is>
          <t>Target Not Achieved → 0</t>
        </is>
      </c>
    </row>
    <row r="106">
      <c r="A106" s="19" t="inlineStr">
        <is>
          <t>Bonus</t>
        </is>
      </c>
    </row>
    <row r="107">
      <c r="A107" s="15">
        <f>IF(F90="Target Achieved",D90*10%,0)</f>
        <v/>
      </c>
      <c r="F107" t="inlineStr">
        <is>
          <t>Example:</t>
        </is>
      </c>
      <c r="G107" t="inlineStr">
        <is>
          <t>Amit:</t>
        </is>
      </c>
    </row>
    <row r="108">
      <c r="A108" s="15">
        <f>IF(F91="Target Achieved",D91*10%,0)</f>
        <v/>
      </c>
      <c r="G108" s="18" t="inlineStr">
        <is>
          <t>Sales = 85000</t>
        </is>
      </c>
    </row>
    <row r="109">
      <c r="A109" s="15">
        <f>IF(F92="Target Achieved",D92*10%,0)</f>
        <v/>
      </c>
      <c r="G109" s="18" t="inlineStr">
        <is>
          <t>Target = 80000</t>
        </is>
      </c>
    </row>
    <row r="110">
      <c r="A110" s="15">
        <f>IF(F93="Target Achieved",D93*10%,0)</f>
        <v/>
      </c>
    </row>
    <row r="111">
      <c r="A111" s="15">
        <f>IF(F94="Target Achieved",D94*10%,0)</f>
        <v/>
      </c>
      <c r="F111" t="inlineStr">
        <is>
          <t>To Bonus:</t>
        </is>
      </c>
      <c r="G111" s="22" t="n">
        <v>8500</v>
      </c>
    </row>
    <row r="112"/>
    <row r="113">
      <c r="A113" t="inlineStr">
        <is>
          <t>Q25. 🔥 Final Data Analyst Challenge</t>
        </is>
      </c>
    </row>
    <row r="114"/>
    <row r="115">
      <c r="A115" s="13" t="inlineStr">
        <is>
          <t>EmpID</t>
        </is>
      </c>
      <c r="B115" s="13" t="inlineStr">
        <is>
          <t>Employee</t>
        </is>
      </c>
      <c r="C115" s="13" t="inlineStr">
        <is>
          <t>Department</t>
        </is>
      </c>
      <c r="D115" s="13" t="inlineStr">
        <is>
          <t>Sales</t>
        </is>
      </c>
      <c r="E115" s="13" t="inlineStr">
        <is>
          <t>Target</t>
        </is>
      </c>
      <c r="F115" s="13" t="inlineStr">
        <is>
          <t>Status</t>
        </is>
      </c>
      <c r="G115" s="13" t="inlineStr">
        <is>
          <t>Bonus</t>
        </is>
      </c>
      <c r="H115" s="13" t="inlineStr">
        <is>
          <t>Performance</t>
        </is>
      </c>
    </row>
    <row r="116" ht="18" customHeight="1">
      <c r="A116" s="14" t="n">
        <v>201</v>
      </c>
      <c r="B116" s="14" t="inlineStr">
        <is>
          <t>Arjun</t>
        </is>
      </c>
      <c r="C116" s="14" t="inlineStr">
        <is>
          <t>Sales</t>
        </is>
      </c>
      <c r="D116" s="14" t="n">
        <v>120000</v>
      </c>
      <c r="E116" s="15">
        <f>_xlfn.XLOOKUP(C116,$A$126:$A$129,$B$126:$B$129)</f>
        <v/>
      </c>
      <c r="F116" s="15">
        <f>IF(D116&gt;=E116,"Achieved","Not Achieved")</f>
        <v/>
      </c>
      <c r="G116" s="15">
        <f>IF(F116="Achieved",D116*10%,0)</f>
        <v/>
      </c>
      <c r="H116" s="15">
        <f>IF(G116&gt;0,"Eligible","Not Eligible")</f>
        <v/>
      </c>
      <c r="J116" s="23" t="inlineStr">
        <is>
          <t>Column E — Target</t>
        </is>
      </c>
    </row>
    <row r="117">
      <c r="A117" s="14" t="n">
        <v>202</v>
      </c>
      <c r="B117" s="14" t="inlineStr">
        <is>
          <t>Neha</t>
        </is>
      </c>
      <c r="C117" s="14" t="inlineStr">
        <is>
          <t>HR</t>
        </is>
      </c>
      <c r="D117" s="14" t="n">
        <v>48000</v>
      </c>
      <c r="E117" s="15">
        <f>_xlfn.XLOOKUP(C117,$A$126:$A$129,$B$126:$B$129)</f>
        <v/>
      </c>
      <c r="F117" s="15">
        <f>IF(D117&gt;=E117,"Achieved","Not Achieved")</f>
        <v/>
      </c>
      <c r="G117" s="15">
        <f>IF(F117="Achieved",D117*10%,0)</f>
        <v/>
      </c>
      <c r="H117" s="15">
        <f>IF(G117&gt;0,"Eligible","Not Eligible")</f>
        <v/>
      </c>
      <c r="J117" t="inlineStr">
        <is>
          <t>XLOOKUP se Department ka target lao.</t>
        </is>
      </c>
    </row>
    <row r="118">
      <c r="A118" s="14" t="n">
        <v>203</v>
      </c>
      <c r="B118" s="14" t="inlineStr">
        <is>
          <t>Ravi</t>
        </is>
      </c>
      <c r="C118" s="14" t="inlineStr">
        <is>
          <t>IT</t>
        </is>
      </c>
      <c r="D118" s="14" t="n">
        <v>95000</v>
      </c>
      <c r="E118" s="15">
        <f>_xlfn.XLOOKUP(C118,$A$126:$A$129,$B$126:$B$129)</f>
        <v/>
      </c>
      <c r="F118" s="15">
        <f>IF(D118&gt;=E118,"Achieved","Not Achieved")</f>
        <v/>
      </c>
      <c r="G118" s="15">
        <f>IF(F118="Achieved",D118*10%,0)</f>
        <v/>
      </c>
      <c r="H118" s="15">
        <f>IF(G118&gt;0,"Eligible","Not Eligible")</f>
        <v/>
      </c>
    </row>
    <row r="119" ht="18" customHeight="1">
      <c r="A119" s="14" t="n">
        <v>204</v>
      </c>
      <c r="B119" s="14" t="inlineStr">
        <is>
          <t>Pooja</t>
        </is>
      </c>
      <c r="C119" s="14" t="inlineStr">
        <is>
          <t>Finance</t>
        </is>
      </c>
      <c r="D119" s="14" t="n">
        <v>85000</v>
      </c>
      <c r="E119" s="15">
        <f>_xlfn.XLOOKUP(C119,$A$126:$A$129,$B$126:$B$129)</f>
        <v/>
      </c>
      <c r="F119" s="15">
        <f>IF(D119&gt;=E119,"Achieved","Not Achieved")</f>
        <v/>
      </c>
      <c r="G119" s="15">
        <f>IF(F119="Achieved",D119*10%,0)</f>
        <v/>
      </c>
      <c r="H119" s="15">
        <f>IF(G119&gt;0,"Eligible","Not Eligible")</f>
        <v/>
      </c>
      <c r="J119" s="23" t="inlineStr">
        <is>
          <t>Column F — Status</t>
        </is>
      </c>
    </row>
    <row r="120">
      <c r="A120" s="14" t="n">
        <v>205</v>
      </c>
      <c r="B120" s="14" t="inlineStr">
        <is>
          <t>Mohit</t>
        </is>
      </c>
      <c r="C120" s="14" t="inlineStr">
        <is>
          <t>Sales</t>
        </is>
      </c>
      <c r="D120" s="14" t="n">
        <v>72000</v>
      </c>
      <c r="E120" s="15">
        <f>_xlfn.XLOOKUP(C120,$A$126:$A$129,$B$126:$B$129)</f>
        <v/>
      </c>
      <c r="F120" s="15">
        <f>IF(D120&gt;=E120,"Achieved","Not Achieved")</f>
        <v/>
      </c>
      <c r="G120" s="15">
        <f>IF(F120="Achieved",D120*10%,0)</f>
        <v/>
      </c>
      <c r="H120" s="15">
        <f>IF(G120&gt;0,"Eligible","Not Eligible")</f>
        <v/>
      </c>
      <c r="J120" t="inlineStr">
        <is>
          <t>IF se:</t>
        </is>
      </c>
    </row>
    <row r="121">
      <c r="A121" s="14" t="n">
        <v>206</v>
      </c>
      <c r="B121" s="14" t="inlineStr">
        <is>
          <t>Simran</t>
        </is>
      </c>
      <c r="C121" s="14" t="inlineStr">
        <is>
          <t>IT</t>
        </is>
      </c>
      <c r="D121" s="14" t="n">
        <v>130000</v>
      </c>
      <c r="E121" s="15">
        <f>_xlfn.XLOOKUP(C121,$A$126:$A$129,$B$126:$B$129)</f>
        <v/>
      </c>
      <c r="F121" s="15">
        <f>IF(D121&gt;=E121,"Achieved","Not Achieved")</f>
        <v/>
      </c>
      <c r="G121" s="15">
        <f>IF(F121="Achieved",D121*10%,0)</f>
        <v/>
      </c>
      <c r="H121" s="15">
        <f>IF(G121&gt;0,"Eligible","Not Eligible")</f>
        <v/>
      </c>
    </row>
    <row r="122">
      <c r="J122" s="18" t="inlineStr">
        <is>
          <t>Sales &gt;= Target → "Achieved"</t>
        </is>
      </c>
    </row>
    <row r="123">
      <c r="A123" t="inlineStr">
        <is>
          <t>Target:</t>
        </is>
      </c>
      <c r="J123" s="18" t="inlineStr">
        <is>
          <t>Sales &lt; Target → "Not Achieved"</t>
        </is>
      </c>
    </row>
    <row r="124"/>
    <row r="125" ht="18" customHeight="1">
      <c r="A125" s="13" t="inlineStr">
        <is>
          <t>Department</t>
        </is>
      </c>
      <c r="B125" s="13" t="inlineStr">
        <is>
          <t>Target</t>
        </is>
      </c>
      <c r="J125" s="23" t="inlineStr">
        <is>
          <t>Column G — Bonus</t>
        </is>
      </c>
    </row>
    <row r="126">
      <c r="A126" s="14" t="inlineStr">
        <is>
          <t>Sales</t>
        </is>
      </c>
      <c r="B126" s="14" t="n">
        <v>80000</v>
      </c>
    </row>
    <row r="127">
      <c r="A127" s="14" t="inlineStr">
        <is>
          <t>HR</t>
        </is>
      </c>
      <c r="B127" s="14" t="n">
        <v>50000</v>
      </c>
      <c r="J127" s="18" t="inlineStr">
        <is>
          <t>Achieved → Sales ka 10%</t>
        </is>
      </c>
    </row>
    <row r="128">
      <c r="A128" s="14" t="inlineStr">
        <is>
          <t>IT</t>
        </is>
      </c>
      <c r="B128" s="14" t="n">
        <v>100000</v>
      </c>
      <c r="J128" s="18" t="inlineStr">
        <is>
          <t>Not Achieved → 0</t>
        </is>
      </c>
    </row>
    <row r="129">
      <c r="A129" s="14" t="inlineStr">
        <is>
          <t>Finance</t>
        </is>
      </c>
      <c r="B129" s="14" t="n">
        <v>70000</v>
      </c>
    </row>
    <row r="130" ht="18" customHeight="1">
      <c r="J130" s="23" t="inlineStr">
        <is>
          <t>Column H — Performance</t>
        </is>
      </c>
    </row>
    <row r="131">
      <c r="J131" t="inlineStr">
        <is>
          <t>IF se:</t>
        </is>
      </c>
    </row>
    <row r="132"/>
    <row r="133">
      <c r="J133" s="18" t="inlineStr">
        <is>
          <t>Bonus &gt; 0 → "Eligible"</t>
        </is>
      </c>
    </row>
    <row r="134">
      <c r="G134" s="9" t="n"/>
      <c r="J134" s="18" t="inlineStr">
        <is>
          <t>Bonus = 0 → "Not Eligible"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2026-09-22T16:10:43Z</dcterms:created>
  <dcterms:modified xmlns:dcterms="http://purl.org/dc/terms/" xmlns:xsi="http://www.w3.org/2001/XMLSchema-instance" xsi:type="dcterms:W3CDTF">2026-09-22T16:10:43Z</dcterms:modified>
</cp:coreProperties>
</file>